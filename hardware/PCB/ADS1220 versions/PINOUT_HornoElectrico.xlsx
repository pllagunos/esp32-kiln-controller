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CloudDrive\ITESM\MNP\Horno Electrico\Controller\"/>
    </mc:Choice>
  </mc:AlternateContent>
  <xr:revisionPtr revIDLastSave="0" documentId="13_ncr:1_{80B55328-9D46-46AB-BDB7-4DC4FD269D27}" xr6:coauthVersionLast="47" xr6:coauthVersionMax="47" xr10:uidLastSave="{00000000-0000-0000-0000-000000000000}"/>
  <bookViews>
    <workbookView xWindow="-108" yWindow="-108" windowWidth="23256" windowHeight="14616" xr2:uid="{AB6F4382-639F-4D38-8E9C-C28D80727DBE}"/>
  </bookViews>
  <sheets>
    <sheet name="ESP32 PINOUT" sheetId="3" r:id="rId1"/>
    <sheet name="POWER CONSUMPTION" sheetId="2" r:id="rId2"/>
  </sheets>
  <definedNames>
    <definedName name="_xlnm._FilterDatabase" localSheetId="0" hidden="1">'ESP32 PINOUT'!$A$2:$K$34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3" l="1"/>
  <c r="A3" i="3"/>
  <c r="B3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D4" i="2"/>
  <c r="D13" i="2" s="1"/>
  <c r="D7" i="2"/>
  <c r="C37" i="3" l="1"/>
  <c r="C36" i="3"/>
</calcChain>
</file>

<file path=xl/sharedStrings.xml><?xml version="1.0" encoding="utf-8"?>
<sst xmlns="http://schemas.openxmlformats.org/spreadsheetml/2006/main" count="149" uniqueCount="59">
  <si>
    <t>Part</t>
  </si>
  <si>
    <t>Voltage</t>
  </si>
  <si>
    <t>Power (W)</t>
  </si>
  <si>
    <t>Units</t>
  </si>
  <si>
    <t>ESP32</t>
  </si>
  <si>
    <t>3.3V</t>
  </si>
  <si>
    <t>Fan</t>
  </si>
  <si>
    <t>12V</t>
  </si>
  <si>
    <t>Total Power</t>
  </si>
  <si>
    <t>watts</t>
  </si>
  <si>
    <t>GPIO</t>
  </si>
  <si>
    <t>INPUT</t>
  </si>
  <si>
    <t>OUTPUT</t>
  </si>
  <si>
    <t>Notes</t>
  </si>
  <si>
    <t>https://randomnerdtutorials.com/esp32-pinout-reference-gpios/</t>
  </si>
  <si>
    <t>https://diyprojects.io/esp32-gpio-pins-and-associated-functions-i-o-pwm-rtc-i2c-spi-adc-dac/#.YW-lbhrMJOQ</t>
  </si>
  <si>
    <t>https://www.youtube.com/watch?v=LY-1DHTxRAk</t>
  </si>
  <si>
    <t>Pulled Up</t>
  </si>
  <si>
    <t>OK</t>
  </si>
  <si>
    <t>outputs PWM at boot</t>
  </si>
  <si>
    <t>TX pin</t>
  </si>
  <si>
    <t xml:space="preserve">OK </t>
  </si>
  <si>
    <t>debug output at boot</t>
  </si>
  <si>
    <t>connected to onboard LED</t>
  </si>
  <si>
    <t>RX-pin</t>
  </si>
  <si>
    <t>HIGH at boot</t>
  </si>
  <si>
    <t>x</t>
  </si>
  <si>
    <t>connected to integrated SPI flash</t>
  </si>
  <si>
    <t>boot fail if pulled high</t>
  </si>
  <si>
    <t>input only</t>
  </si>
  <si>
    <t>TFT SPI CS</t>
  </si>
  <si>
    <t>TFT SPI DC</t>
  </si>
  <si>
    <t>Components</t>
  </si>
  <si>
    <t>36/SP</t>
  </si>
  <si>
    <t>39/SN</t>
  </si>
  <si>
    <t>adc</t>
  </si>
  <si>
    <t>SSRs</t>
  </si>
  <si>
    <t>Regulator needed</t>
  </si>
  <si>
    <t>No</t>
  </si>
  <si>
    <t>Yes</t>
  </si>
  <si>
    <t>DPT</t>
  </si>
  <si>
    <t>TFT</t>
  </si>
  <si>
    <t>OUTPUT STATE</t>
  </si>
  <si>
    <t>INPUT STATE</t>
  </si>
  <si>
    <t>INPUTS RESTANTES</t>
  </si>
  <si>
    <t>OUTPUTS RESTANTES</t>
  </si>
  <si>
    <t>upPin</t>
  </si>
  <si>
    <t>selectPin</t>
  </si>
  <si>
    <t>downPin</t>
  </si>
  <si>
    <t>TFT RST pin</t>
  </si>
  <si>
    <t>Reset button</t>
  </si>
  <si>
    <t>Limit Switch</t>
  </si>
  <si>
    <t>Heater Pin</t>
  </si>
  <si>
    <t>SPI MISO</t>
  </si>
  <si>
    <t>Relay pin</t>
  </si>
  <si>
    <t>ADS DRDY</t>
  </si>
  <si>
    <t>ADS CS</t>
  </si>
  <si>
    <t>SPI MOSI</t>
  </si>
  <si>
    <t>SPI CLK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</si>
</sst>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0" borderId="2" xfId="0" applyBorder="1"/>
    <xf numFmtId="0" fontId="0" fillId="9" borderId="1" xfId="0" applyFill="1" applyBorder="1"/>
    <xf numFmtId="0" fontId="0" fillId="10" borderId="1" xfId="0" applyFill="1" applyBorder="1"/>
    <xf numFmtId="0" fontId="0" fillId="7" borderId="3" xfId="0" applyFill="1" applyBorder="1"/>
    <xf numFmtId="0" fontId="0" fillId="0" borderId="4" xfId="0" applyBorder="1"/>
    <xf numFmtId="0" fontId="0" fillId="11" borderId="1" xfId="0" applyFill="1" applyBorder="1"/>
    <xf numFmtId="0" fontId="1" fillId="0" borderId="1" xfId="0" applyFont="1" applyBorder="1" applyAlignment="1">
      <alignment horizontal="center"/>
    </xf>
    <xf numFmtId="0" fontId="0" fillId="0" borderId="1" xfId="0" applyFill="1" applyBorder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18891</xdr:colOff>
      <xdr:row>5</xdr:row>
      <xdr:rowOff>30262</xdr:rowOff>
    </xdr:from>
    <xdr:to>
      <xdr:col>27</xdr:col>
      <xdr:colOff>396241</xdr:colOff>
      <xdr:row>38</xdr:row>
      <xdr:rowOff>47738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447E33-FEF5-4A9E-BF56-626A20BEF2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28"/>
        <a:stretch/>
      </xdr:blipFill>
      <xdr:spPr>
        <a:xfrm>
          <a:off x="12210891" y="982762"/>
          <a:ext cx="9565980" cy="6298263"/>
        </a:xfrm>
        <a:prstGeom prst="rect">
          <a:avLst/>
        </a:prstGeom>
      </xdr:spPr>
    </xdr:pic>
    <xdr:clientData/>
  </xdr:twoCellAnchor>
  <xdr:twoCellAnchor editAs="oneCell">
    <xdr:from>
      <xdr:col>13</xdr:col>
      <xdr:colOff>386204</xdr:colOff>
      <xdr:row>36</xdr:row>
      <xdr:rowOff>176076</xdr:rowOff>
    </xdr:from>
    <xdr:to>
      <xdr:col>26</xdr:col>
      <xdr:colOff>574790</xdr:colOff>
      <xdr:row>46</xdr:row>
      <xdr:rowOff>1487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63EC12-9F17-4776-AE33-B078EC919C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460792" y="7034076"/>
          <a:ext cx="8055116" cy="17211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F32F3-D49A-4583-9976-E6346850FDE4}">
  <dimension ref="A2:M37"/>
  <sheetViews>
    <sheetView tabSelected="1" zoomScale="79" zoomScaleNormal="205" workbookViewId="0">
      <selection activeCell="C27" sqref="C27"/>
    </sheetView>
  </sheetViews>
  <sheetFormatPr defaultRowHeight="14.4" x14ac:dyDescent="0.3"/>
  <cols>
    <col min="1" max="1" width="17.109375" bestFit="1" customWidth="1"/>
    <col min="2" max="2" width="28.109375" bestFit="1" customWidth="1"/>
    <col min="3" max="3" width="10.6640625" style="7" bestFit="1" customWidth="1"/>
    <col min="4" max="4" width="10.33203125" customWidth="1"/>
    <col min="5" max="5" width="11.44140625" bestFit="1" customWidth="1"/>
    <col min="6" max="6" width="32.6640625" bestFit="1" customWidth="1"/>
    <col min="7" max="7" width="7.6640625" customWidth="1"/>
    <col min="8" max="8" width="22.6640625" customWidth="1"/>
    <col min="9" max="9" width="17.88671875" customWidth="1"/>
    <col min="10" max="10" width="16.88671875" bestFit="1" customWidth="1"/>
    <col min="11" max="11" width="17.44140625" bestFit="1" customWidth="1"/>
  </cols>
  <sheetData>
    <row r="2" spans="1:13" x14ac:dyDescent="0.3">
      <c r="A2" s="3" t="s">
        <v>43</v>
      </c>
      <c r="B2" s="3" t="s">
        <v>42</v>
      </c>
      <c r="C2" s="8" t="s">
        <v>10</v>
      </c>
      <c r="D2" s="3" t="s">
        <v>11</v>
      </c>
      <c r="E2" s="3" t="s">
        <v>12</v>
      </c>
      <c r="F2" s="3" t="s">
        <v>13</v>
      </c>
      <c r="G2" s="1" t="s">
        <v>35</v>
      </c>
      <c r="H2" s="19" t="s">
        <v>32</v>
      </c>
      <c r="I2" s="19"/>
      <c r="J2" s="19"/>
      <c r="K2" s="19"/>
    </row>
    <row r="3" spans="1:13" x14ac:dyDescent="0.3">
      <c r="A3" s="2" t="str">
        <f>IF(AND(D3="OK", H3=""), "LIBRE","OCUPADO")</f>
        <v>OCUPADO</v>
      </c>
      <c r="B3" s="2" t="str">
        <f>IF(AND(E3="OK", H3=""), "LIBRE","OCUPADO")</f>
        <v>LIBRE</v>
      </c>
      <c r="C3" s="8">
        <v>0</v>
      </c>
      <c r="D3" s="5" t="s">
        <v>17</v>
      </c>
      <c r="E3" s="5" t="s">
        <v>18</v>
      </c>
      <c r="F3" s="2" t="s">
        <v>19</v>
      </c>
      <c r="G3" t="s">
        <v>26</v>
      </c>
      <c r="H3" s="2"/>
      <c r="I3" s="11"/>
      <c r="J3" s="11"/>
      <c r="K3" s="11"/>
      <c r="M3" t="s">
        <v>14</v>
      </c>
    </row>
    <row r="4" spans="1:13" x14ac:dyDescent="0.3">
      <c r="A4" s="2" t="str">
        <f>IF(AND(D4="OK", H4=""), "LIBRE","OCUPADO")</f>
        <v>OCUPADO</v>
      </c>
      <c r="B4" s="2" t="str">
        <f>IF(AND(E4="OK", H4=""), "LIBRE","OCUPADO")</f>
        <v>LIBRE</v>
      </c>
      <c r="C4" s="8">
        <v>1</v>
      </c>
      <c r="D4" s="6" t="s">
        <v>20</v>
      </c>
      <c r="E4" s="5" t="s">
        <v>18</v>
      </c>
      <c r="F4" s="2" t="s">
        <v>22</v>
      </c>
      <c r="H4" s="2"/>
      <c r="I4" s="11"/>
      <c r="J4" s="11"/>
      <c r="K4" s="11"/>
      <c r="M4" t="s">
        <v>15</v>
      </c>
    </row>
    <row r="5" spans="1:13" x14ac:dyDescent="0.3">
      <c r="A5" s="2" t="str">
        <f t="shared" ref="A5:A34" si="0">IF(AND(D5="OK", H5=""), "LIBRE","OCUPADO")</f>
        <v>OCUPADO</v>
      </c>
      <c r="B5" s="2" t="str">
        <f t="shared" ref="B5:B34" si="1">IF(AND(E5="OK", H5=""), "LIBRE","OCUPADO")</f>
        <v>OCUPADO</v>
      </c>
      <c r="C5" s="8">
        <v>2</v>
      </c>
      <c r="D5" s="4" t="s">
        <v>18</v>
      </c>
      <c r="E5" s="4" t="s">
        <v>21</v>
      </c>
      <c r="F5" s="2" t="s">
        <v>23</v>
      </c>
      <c r="G5" t="s">
        <v>26</v>
      </c>
      <c r="H5" s="10" t="s">
        <v>31</v>
      </c>
      <c r="I5" s="11"/>
      <c r="J5" s="11"/>
      <c r="K5" s="11"/>
      <c r="M5" t="s">
        <v>16</v>
      </c>
    </row>
    <row r="6" spans="1:13" x14ac:dyDescent="0.3">
      <c r="A6" s="2" t="str">
        <f t="shared" si="0"/>
        <v>LIBRE</v>
      </c>
      <c r="B6" s="2" t="str">
        <f t="shared" si="1"/>
        <v>OCUPADO</v>
      </c>
      <c r="C6" s="8">
        <v>3</v>
      </c>
      <c r="D6" s="5" t="s">
        <v>18</v>
      </c>
      <c r="E6" s="6" t="s">
        <v>24</v>
      </c>
      <c r="F6" s="2" t="s">
        <v>25</v>
      </c>
      <c r="H6" s="2"/>
      <c r="I6" s="11"/>
      <c r="J6" s="11"/>
      <c r="K6" s="11"/>
    </row>
    <row r="7" spans="1:13" x14ac:dyDescent="0.3">
      <c r="A7" s="2" t="str">
        <f>IF(AND(D7="OK", H7=""), "LIBRE","OCUPADO")</f>
        <v>OCUPADO</v>
      </c>
      <c r="B7" s="2" t="str">
        <f>IF(AND(E7="OK", H7=""), "LIBRE","OCUPADO")</f>
        <v>OCUPADO</v>
      </c>
      <c r="C7" s="8">
        <v>4</v>
      </c>
      <c r="D7" s="4" t="s">
        <v>18</v>
      </c>
      <c r="E7" s="4" t="s">
        <v>18</v>
      </c>
      <c r="F7" s="2"/>
      <c r="G7" t="s">
        <v>26</v>
      </c>
      <c r="H7" s="10" t="s">
        <v>49</v>
      </c>
      <c r="I7" s="11"/>
      <c r="J7" s="11"/>
      <c r="K7" s="11"/>
    </row>
    <row r="8" spans="1:13" x14ac:dyDescent="0.3">
      <c r="A8" s="2" t="str">
        <f>IF(AND(D8="OK", H8=""), "LIBRE","OCUPADO")</f>
        <v>LIBRE</v>
      </c>
      <c r="B8" s="2" t="str">
        <f>IF(AND(E8="OK", H8=""), "LIBRE","OCUPADO")</f>
        <v>LIBRE</v>
      </c>
      <c r="C8" s="8">
        <v>5</v>
      </c>
      <c r="D8" s="4" t="s">
        <v>18</v>
      </c>
      <c r="E8" s="4" t="s">
        <v>18</v>
      </c>
      <c r="F8" s="2" t="s">
        <v>19</v>
      </c>
      <c r="H8" s="20"/>
      <c r="I8" s="11"/>
      <c r="J8" s="11"/>
      <c r="K8" s="11"/>
    </row>
    <row r="9" spans="1:13" x14ac:dyDescent="0.3">
      <c r="A9" s="2" t="str">
        <f t="shared" si="0"/>
        <v>OCUPADO</v>
      </c>
      <c r="B9" s="2" t="str">
        <f t="shared" si="1"/>
        <v>OCUPADO</v>
      </c>
      <c r="C9" s="8">
        <v>6</v>
      </c>
      <c r="D9" s="6" t="s">
        <v>26</v>
      </c>
      <c r="E9" s="6" t="s">
        <v>26</v>
      </c>
      <c r="F9" s="2" t="s">
        <v>27</v>
      </c>
      <c r="H9" s="2"/>
      <c r="I9" s="11"/>
      <c r="J9" s="11"/>
      <c r="K9" s="11"/>
    </row>
    <row r="10" spans="1:13" x14ac:dyDescent="0.3">
      <c r="A10" s="2" t="str">
        <f t="shared" si="0"/>
        <v>OCUPADO</v>
      </c>
      <c r="B10" s="2" t="str">
        <f t="shared" si="1"/>
        <v>OCUPADO</v>
      </c>
      <c r="C10" s="8">
        <v>7</v>
      </c>
      <c r="D10" s="6" t="s">
        <v>26</v>
      </c>
      <c r="E10" s="6" t="s">
        <v>26</v>
      </c>
      <c r="F10" s="2" t="s">
        <v>27</v>
      </c>
      <c r="H10" s="2"/>
      <c r="I10" s="11"/>
      <c r="J10" s="11"/>
      <c r="K10" s="11"/>
    </row>
    <row r="11" spans="1:13" x14ac:dyDescent="0.3">
      <c r="A11" s="2" t="str">
        <f t="shared" si="0"/>
        <v>OCUPADO</v>
      </c>
      <c r="B11" s="2" t="str">
        <f t="shared" si="1"/>
        <v>OCUPADO</v>
      </c>
      <c r="C11" s="8">
        <v>8</v>
      </c>
      <c r="D11" s="6" t="s">
        <v>26</v>
      </c>
      <c r="E11" s="6" t="s">
        <v>26</v>
      </c>
      <c r="F11" s="2" t="s">
        <v>27</v>
      </c>
      <c r="H11" s="2"/>
      <c r="I11" s="11"/>
      <c r="J11" s="11"/>
      <c r="K11" s="11"/>
    </row>
    <row r="12" spans="1:13" x14ac:dyDescent="0.3">
      <c r="A12" s="2" t="str">
        <f t="shared" si="0"/>
        <v>OCUPADO</v>
      </c>
      <c r="B12" s="2" t="str">
        <f t="shared" si="1"/>
        <v>OCUPADO</v>
      </c>
      <c r="C12" s="8">
        <v>9</v>
      </c>
      <c r="D12" s="6" t="s">
        <v>26</v>
      </c>
      <c r="E12" s="6" t="s">
        <v>26</v>
      </c>
      <c r="F12" s="2" t="s">
        <v>27</v>
      </c>
      <c r="H12" s="2"/>
      <c r="I12" s="11"/>
      <c r="J12" s="11"/>
      <c r="K12" s="11"/>
    </row>
    <row r="13" spans="1:13" x14ac:dyDescent="0.3">
      <c r="A13" s="2" t="str">
        <f t="shared" si="0"/>
        <v>OCUPADO</v>
      </c>
      <c r="B13" s="2" t="str">
        <f t="shared" si="1"/>
        <v>OCUPADO</v>
      </c>
      <c r="C13" s="8">
        <v>10</v>
      </c>
      <c r="D13" s="6" t="s">
        <v>26</v>
      </c>
      <c r="E13" s="6" t="s">
        <v>26</v>
      </c>
      <c r="F13" s="2" t="s">
        <v>27</v>
      </c>
      <c r="H13" s="2"/>
      <c r="I13" s="11"/>
      <c r="J13" s="11"/>
      <c r="K13" s="11"/>
    </row>
    <row r="14" spans="1:13" x14ac:dyDescent="0.3">
      <c r="A14" s="2" t="str">
        <f t="shared" si="0"/>
        <v>OCUPADO</v>
      </c>
      <c r="B14" s="2" t="str">
        <f t="shared" si="1"/>
        <v>OCUPADO</v>
      </c>
      <c r="C14" s="8">
        <v>11</v>
      </c>
      <c r="D14" s="6" t="s">
        <v>26</v>
      </c>
      <c r="E14" s="6" t="s">
        <v>26</v>
      </c>
      <c r="F14" s="2" t="s">
        <v>27</v>
      </c>
      <c r="H14" s="17"/>
      <c r="I14" s="11"/>
      <c r="J14" s="11"/>
      <c r="K14" s="11"/>
    </row>
    <row r="15" spans="1:13" x14ac:dyDescent="0.3">
      <c r="A15" s="2" t="str">
        <f t="shared" si="0"/>
        <v>LIBRE</v>
      </c>
      <c r="B15" s="2" t="str">
        <f t="shared" si="1"/>
        <v>LIBRE</v>
      </c>
      <c r="C15" s="8">
        <v>12</v>
      </c>
      <c r="D15" s="5" t="s">
        <v>18</v>
      </c>
      <c r="E15" s="4" t="s">
        <v>18</v>
      </c>
      <c r="F15" s="2" t="s">
        <v>28</v>
      </c>
      <c r="G15" t="s">
        <v>26</v>
      </c>
      <c r="H15" s="11"/>
      <c r="I15" s="16"/>
      <c r="J15" s="11"/>
      <c r="K15" s="11"/>
    </row>
    <row r="16" spans="1:13" x14ac:dyDescent="0.3">
      <c r="A16" s="2" t="str">
        <f>IF(AND(D16="OK", H16=""), "LIBRE","OCUPADO")</f>
        <v>OCUPADO</v>
      </c>
      <c r="B16" s="2" t="str">
        <f>IF(AND(E16="OK", H16=""), "LIBRE","OCUPADO")</f>
        <v>OCUPADO</v>
      </c>
      <c r="C16" s="8">
        <v>13</v>
      </c>
      <c r="D16" s="4" t="s">
        <v>18</v>
      </c>
      <c r="E16" s="4" t="s">
        <v>18</v>
      </c>
      <c r="F16" s="2"/>
      <c r="G16" t="s">
        <v>26</v>
      </c>
      <c r="H16" s="9" t="s">
        <v>55</v>
      </c>
      <c r="I16" s="2"/>
      <c r="J16" s="11"/>
      <c r="K16" s="11"/>
    </row>
    <row r="17" spans="1:11" x14ac:dyDescent="0.3">
      <c r="A17" s="2" t="str">
        <f>IF(AND(D17="OK", H17=""), "LIBRE","OCUPADO")</f>
        <v>LIBRE</v>
      </c>
      <c r="B17" s="2" t="str">
        <f>IF(AND(E17="OK", H17=""), "LIBRE","OCUPADO")</f>
        <v>LIBRE</v>
      </c>
      <c r="C17" s="8">
        <v>14</v>
      </c>
      <c r="D17" s="4" t="s">
        <v>18</v>
      </c>
      <c r="E17" s="4" t="s">
        <v>18</v>
      </c>
      <c r="F17" s="2" t="s">
        <v>19</v>
      </c>
      <c r="G17" t="s">
        <v>26</v>
      </c>
      <c r="H17" s="2"/>
      <c r="I17" s="11"/>
      <c r="J17" s="11"/>
      <c r="K17" s="11"/>
    </row>
    <row r="18" spans="1:11" x14ac:dyDescent="0.3">
      <c r="A18" s="2" t="str">
        <f t="shared" si="0"/>
        <v>OCUPADO</v>
      </c>
      <c r="B18" s="2" t="str">
        <f t="shared" si="1"/>
        <v>OCUPADO</v>
      </c>
      <c r="C18" s="8">
        <v>15</v>
      </c>
      <c r="D18" s="4" t="s">
        <v>18</v>
      </c>
      <c r="E18" s="4" t="s">
        <v>18</v>
      </c>
      <c r="F18" s="2" t="s">
        <v>19</v>
      </c>
      <c r="G18" t="s">
        <v>26</v>
      </c>
      <c r="H18" s="10" t="s">
        <v>30</v>
      </c>
      <c r="I18" s="11"/>
      <c r="J18" s="11"/>
      <c r="K18" s="11"/>
    </row>
    <row r="19" spans="1:11" x14ac:dyDescent="0.3">
      <c r="A19" s="2" t="str">
        <f t="shared" si="0"/>
        <v>OCUPADO</v>
      </c>
      <c r="B19" s="2" t="str">
        <f t="shared" si="1"/>
        <v>OCUPADO</v>
      </c>
      <c r="C19" s="8">
        <v>16</v>
      </c>
      <c r="D19" s="4" t="s">
        <v>18</v>
      </c>
      <c r="E19" s="4" t="s">
        <v>18</v>
      </c>
      <c r="F19" s="2"/>
      <c r="H19" s="14" t="s">
        <v>46</v>
      </c>
      <c r="I19" s="11"/>
      <c r="J19" s="11"/>
      <c r="K19" s="11"/>
    </row>
    <row r="20" spans="1:11" x14ac:dyDescent="0.3">
      <c r="A20" s="2" t="str">
        <f t="shared" si="0"/>
        <v>OCUPADO</v>
      </c>
      <c r="B20" s="2" t="str">
        <f t="shared" si="1"/>
        <v>OCUPADO</v>
      </c>
      <c r="C20" s="8">
        <v>17</v>
      </c>
      <c r="D20" s="4" t="s">
        <v>18</v>
      </c>
      <c r="E20" s="4" t="s">
        <v>18</v>
      </c>
      <c r="F20" s="2"/>
      <c r="H20" s="14" t="s">
        <v>47</v>
      </c>
      <c r="I20" s="11"/>
      <c r="J20" s="11"/>
      <c r="K20" s="11"/>
    </row>
    <row r="21" spans="1:11" x14ac:dyDescent="0.3">
      <c r="A21" s="2" t="str">
        <f t="shared" si="0"/>
        <v>OCUPADO</v>
      </c>
      <c r="B21" s="2" t="str">
        <f t="shared" si="1"/>
        <v>OCUPADO</v>
      </c>
      <c r="C21" s="8">
        <v>18</v>
      </c>
      <c r="D21" s="4" t="s">
        <v>18</v>
      </c>
      <c r="E21" s="4" t="s">
        <v>18</v>
      </c>
      <c r="F21" s="2"/>
      <c r="H21" s="12" t="s">
        <v>58</v>
      </c>
      <c r="I21" s="2"/>
      <c r="J21" s="2"/>
      <c r="K21" s="2"/>
    </row>
    <row r="22" spans="1:11" x14ac:dyDescent="0.3">
      <c r="A22" s="2" t="str">
        <f>IF(AND(D22="OK", H22=""), "LIBRE","OCUPADO")</f>
        <v>OCUPADO</v>
      </c>
      <c r="B22" s="2" t="str">
        <f>IF(AND(E22="OK", H22=""), "LIBRE","OCUPADO")</f>
        <v>OCUPADO</v>
      </c>
      <c r="C22" s="8">
        <v>19</v>
      </c>
      <c r="D22" s="4" t="s">
        <v>18</v>
      </c>
      <c r="E22" s="4" t="s">
        <v>18</v>
      </c>
      <c r="F22" s="2"/>
      <c r="H22" s="12" t="s">
        <v>53</v>
      </c>
      <c r="I22" s="2"/>
      <c r="J22" s="11"/>
      <c r="K22" s="2"/>
    </row>
    <row r="23" spans="1:11" x14ac:dyDescent="0.3">
      <c r="A23" s="2" t="str">
        <f t="shared" si="0"/>
        <v>OCUPADO</v>
      </c>
      <c r="B23" s="2" t="str">
        <f t="shared" si="1"/>
        <v>OCUPADO</v>
      </c>
      <c r="C23" s="8">
        <v>21</v>
      </c>
      <c r="D23" s="4" t="s">
        <v>18</v>
      </c>
      <c r="E23" s="4" t="s">
        <v>18</v>
      </c>
      <c r="F23" s="2"/>
      <c r="H23" s="14" t="s">
        <v>48</v>
      </c>
      <c r="I23" s="11"/>
      <c r="J23" s="11"/>
      <c r="K23" s="11"/>
    </row>
    <row r="24" spans="1:11" x14ac:dyDescent="0.3">
      <c r="A24" s="2" t="str">
        <f>IF(AND(D24="OK", H24=""), "LIBRE","OCUPADO")</f>
        <v>OCUPADO</v>
      </c>
      <c r="B24" s="2" t="str">
        <f>IF(AND(E24="OK", H24=""), "LIBRE","OCUPADO")</f>
        <v>OCUPADO</v>
      </c>
      <c r="C24" s="8">
        <v>22</v>
      </c>
      <c r="D24" s="4" t="s">
        <v>18</v>
      </c>
      <c r="E24" s="4" t="s">
        <v>18</v>
      </c>
      <c r="F24" s="2"/>
      <c r="H24" s="15" t="s">
        <v>50</v>
      </c>
      <c r="I24" s="11"/>
      <c r="J24" s="11"/>
      <c r="K24" s="11"/>
    </row>
    <row r="25" spans="1:11" x14ac:dyDescent="0.3">
      <c r="A25" s="2" t="str">
        <f t="shared" si="0"/>
        <v>OCUPADO</v>
      </c>
      <c r="B25" s="2" t="str">
        <f t="shared" si="1"/>
        <v>OCUPADO</v>
      </c>
      <c r="C25" s="8">
        <v>23</v>
      </c>
      <c r="D25" s="4" t="s">
        <v>18</v>
      </c>
      <c r="E25" s="4" t="s">
        <v>18</v>
      </c>
      <c r="F25" s="2"/>
      <c r="H25" s="12" t="s">
        <v>57</v>
      </c>
      <c r="I25" s="2"/>
      <c r="K25" s="11"/>
    </row>
    <row r="26" spans="1:11" x14ac:dyDescent="0.3">
      <c r="A26" s="2" t="str">
        <f>IF(AND(D26="OK", H26=""), "LIBRE","OCUPADO")</f>
        <v>OCUPADO</v>
      </c>
      <c r="B26" s="2" t="str">
        <f>IF(AND(E26="OK", H26=""), "LIBRE","OCUPADO")</f>
        <v>OCUPADO</v>
      </c>
      <c r="C26" s="8">
        <v>25</v>
      </c>
      <c r="D26" s="4" t="s">
        <v>18</v>
      </c>
      <c r="E26" s="4" t="s">
        <v>18</v>
      </c>
      <c r="F26" s="2"/>
      <c r="G26" t="s">
        <v>26</v>
      </c>
      <c r="H26" s="15" t="s">
        <v>51</v>
      </c>
      <c r="I26" s="11"/>
      <c r="J26" s="11"/>
      <c r="K26" s="11"/>
    </row>
    <row r="27" spans="1:11" x14ac:dyDescent="0.3">
      <c r="A27" s="2" t="str">
        <f>IF(AND(D27="OK", H27=""), "LIBRE","OCUPADO")</f>
        <v>OCUPADO</v>
      </c>
      <c r="B27" s="2" t="str">
        <f>IF(AND(E27="OK", H27=""), "LIBRE","OCUPADO")</f>
        <v>OCUPADO</v>
      </c>
      <c r="C27" s="8">
        <v>26</v>
      </c>
      <c r="D27" s="4" t="s">
        <v>18</v>
      </c>
      <c r="E27" s="4" t="s">
        <v>18</v>
      </c>
      <c r="F27" s="2"/>
      <c r="G27" t="s">
        <v>26</v>
      </c>
      <c r="H27" s="18" t="s">
        <v>54</v>
      </c>
      <c r="I27" s="11"/>
      <c r="J27" s="11"/>
      <c r="K27" s="11"/>
    </row>
    <row r="28" spans="1:11" x14ac:dyDescent="0.3">
      <c r="A28" s="2" t="str">
        <f t="shared" si="0"/>
        <v>OCUPADO</v>
      </c>
      <c r="B28" s="2" t="str">
        <f t="shared" si="1"/>
        <v>OCUPADO</v>
      </c>
      <c r="C28" s="8">
        <v>27</v>
      </c>
      <c r="D28" s="4" t="s">
        <v>18</v>
      </c>
      <c r="E28" s="4" t="s">
        <v>18</v>
      </c>
      <c r="F28" s="2"/>
      <c r="G28" t="s">
        <v>26</v>
      </c>
      <c r="H28" s="14" t="s">
        <v>52</v>
      </c>
      <c r="I28" s="11"/>
      <c r="J28" s="11"/>
      <c r="K28" s="11"/>
    </row>
    <row r="29" spans="1:11" x14ac:dyDescent="0.3">
      <c r="A29" s="2" t="str">
        <f t="shared" si="0"/>
        <v>LIBRE</v>
      </c>
      <c r="B29" s="2" t="str">
        <f t="shared" si="1"/>
        <v>LIBRE</v>
      </c>
      <c r="C29" s="8">
        <v>32</v>
      </c>
      <c r="D29" s="4" t="s">
        <v>18</v>
      </c>
      <c r="E29" s="4" t="s">
        <v>18</v>
      </c>
      <c r="F29" s="2"/>
      <c r="G29" t="s">
        <v>26</v>
      </c>
      <c r="H29" s="11"/>
      <c r="I29" s="11"/>
      <c r="J29" s="11"/>
      <c r="K29" s="11"/>
    </row>
    <row r="30" spans="1:11" x14ac:dyDescent="0.3">
      <c r="A30" s="2" t="str">
        <f>IF(AND(D30="OK", H30=""), "LIBRE","OCUPADO")</f>
        <v>OCUPADO</v>
      </c>
      <c r="B30" s="2" t="str">
        <f>IF(AND(E30="OK", H30=""), "LIBRE","OCUPADO")</f>
        <v>OCUPADO</v>
      </c>
      <c r="C30" s="8">
        <v>33</v>
      </c>
      <c r="D30" s="4" t="s">
        <v>18</v>
      </c>
      <c r="E30" s="4" t="s">
        <v>18</v>
      </c>
      <c r="F30" s="2"/>
      <c r="H30" s="9" t="s">
        <v>56</v>
      </c>
      <c r="I30" s="2"/>
      <c r="J30" s="11"/>
      <c r="K30" s="11"/>
    </row>
    <row r="31" spans="1:11" x14ac:dyDescent="0.3">
      <c r="A31" s="2" t="str">
        <f>IF(AND(D31="OK", H31=""), "LIBRE","OCUPADO")</f>
        <v>LIBRE</v>
      </c>
      <c r="B31" s="2" t="str">
        <f>IF(AND(E31="OK", H31=""), "LIBRE","OCUPADO")</f>
        <v>OCUPADO</v>
      </c>
      <c r="C31" s="8">
        <v>34</v>
      </c>
      <c r="D31" s="4" t="s">
        <v>18</v>
      </c>
      <c r="E31" s="6" t="s">
        <v>26</v>
      </c>
      <c r="F31" s="2" t="s">
        <v>29</v>
      </c>
      <c r="G31" t="s">
        <v>26</v>
      </c>
      <c r="H31" s="2"/>
      <c r="I31" s="11"/>
      <c r="J31" s="11"/>
      <c r="K31" s="11"/>
    </row>
    <row r="32" spans="1:11" x14ac:dyDescent="0.3">
      <c r="A32" s="2" t="str">
        <f t="shared" si="0"/>
        <v>LIBRE</v>
      </c>
      <c r="B32" s="2" t="str">
        <f t="shared" si="1"/>
        <v>OCUPADO</v>
      </c>
      <c r="C32" s="8">
        <v>35</v>
      </c>
      <c r="D32" s="4" t="s">
        <v>18</v>
      </c>
      <c r="E32" s="6" t="s">
        <v>26</v>
      </c>
      <c r="F32" s="2" t="s">
        <v>29</v>
      </c>
      <c r="G32" t="s">
        <v>26</v>
      </c>
      <c r="H32" s="2"/>
      <c r="I32" s="11"/>
      <c r="J32" s="11"/>
      <c r="K32" s="11"/>
    </row>
    <row r="33" spans="1:11" x14ac:dyDescent="0.3">
      <c r="A33" s="2" t="str">
        <f t="shared" si="0"/>
        <v>LIBRE</v>
      </c>
      <c r="B33" s="2" t="str">
        <f t="shared" si="1"/>
        <v>OCUPADO</v>
      </c>
      <c r="C33" s="8" t="s">
        <v>33</v>
      </c>
      <c r="D33" s="4" t="s">
        <v>18</v>
      </c>
      <c r="E33" s="6" t="s">
        <v>26</v>
      </c>
      <c r="F33" s="2" t="s">
        <v>29</v>
      </c>
      <c r="G33" s="13" t="s">
        <v>26</v>
      </c>
      <c r="H33" s="2"/>
      <c r="I33" s="11"/>
      <c r="J33" s="11"/>
      <c r="K33" s="11"/>
    </row>
    <row r="34" spans="1:11" x14ac:dyDescent="0.3">
      <c r="A34" s="2" t="str">
        <f t="shared" si="0"/>
        <v>LIBRE</v>
      </c>
      <c r="B34" s="2" t="str">
        <f t="shared" si="1"/>
        <v>OCUPADO</v>
      </c>
      <c r="C34" s="8" t="s">
        <v>34</v>
      </c>
      <c r="D34" s="4" t="s">
        <v>18</v>
      </c>
      <c r="E34" s="6" t="s">
        <v>26</v>
      </c>
      <c r="F34" s="2" t="s">
        <v>29</v>
      </c>
      <c r="G34" s="13" t="s">
        <v>26</v>
      </c>
      <c r="H34" s="2"/>
      <c r="I34" s="11"/>
      <c r="J34" s="11"/>
      <c r="K34" s="11"/>
    </row>
    <row r="36" spans="1:11" x14ac:dyDescent="0.3">
      <c r="B36" s="1" t="s">
        <v>44</v>
      </c>
      <c r="C36" s="1">
        <f>COUNTIF(A3:A34,"LIBRE")</f>
        <v>9</v>
      </c>
    </row>
    <row r="37" spans="1:11" x14ac:dyDescent="0.3">
      <c r="B37" s="1" t="s">
        <v>45</v>
      </c>
      <c r="C37" s="1">
        <f>COUNTIF(B3:B34,"LIBRE")</f>
        <v>6</v>
      </c>
    </row>
  </sheetData>
  <autoFilter ref="A2:K34" xr:uid="{98DF32F3-D49A-4583-9976-E6346850FDE4}">
    <filterColumn colId="7" showButton="0"/>
    <filterColumn colId="8" showButton="0"/>
    <filterColumn colId="9" showButton="0"/>
  </autoFilter>
  <mergeCells count="1">
    <mergeCell ref="H2:K2"/>
  </mergeCells>
  <conditionalFormatting sqref="A3:B34">
    <cfRule type="containsText" dxfId="3" priority="1" operator="containsText" text="OCUPADO">
      <formula>NOT(ISERROR(SEARCH("OCUPADO",A3)))</formula>
    </cfRule>
    <cfRule type="containsText" dxfId="2" priority="2" operator="containsText" text="LIBRE">
      <formula>NOT(ISERROR(SEARCH("LIBRE",A3)))</formula>
    </cfRule>
    <cfRule type="containsText" dxfId="1" priority="3" operator="containsText" text="OCUPADO">
      <formula>NOT(ISERROR(SEARCH("OCUPADO",A3)))</formula>
    </cfRule>
    <cfRule type="containsText" dxfId="0" priority="4" operator="containsText" text="LIBRE">
      <formula>NOT(ISERROR(SEARCH("LIBRE",A3)))</formula>
    </cfRule>
  </conditionalFormatting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F2E81-E9AB-42CB-A175-1B0800B11E10}">
  <dimension ref="B3:F13"/>
  <sheetViews>
    <sheetView workbookViewId="0">
      <selection activeCell="D31" sqref="D31"/>
    </sheetView>
  </sheetViews>
  <sheetFormatPr defaultRowHeight="14.4" x14ac:dyDescent="0.3"/>
  <cols>
    <col min="2" max="2" width="9.33203125" bestFit="1" customWidth="1"/>
    <col min="3" max="3" width="11" bestFit="1" customWidth="1"/>
    <col min="4" max="4" width="9.88671875" bestFit="1" customWidth="1"/>
    <col min="5" max="5" width="10.33203125" customWidth="1"/>
    <col min="6" max="6" width="16" bestFit="1" customWidth="1"/>
  </cols>
  <sheetData>
    <row r="3" spans="2:6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37</v>
      </c>
    </row>
    <row r="4" spans="2:6" x14ac:dyDescent="0.3">
      <c r="B4" t="s">
        <v>36</v>
      </c>
      <c r="C4" t="s">
        <v>7</v>
      </c>
      <c r="D4">
        <f>0.02*12</f>
        <v>0.24</v>
      </c>
      <c r="E4">
        <v>3</v>
      </c>
      <c r="F4" t="s">
        <v>38</v>
      </c>
    </row>
    <row r="5" spans="2:6" x14ac:dyDescent="0.3">
      <c r="B5" t="s">
        <v>4</v>
      </c>
      <c r="C5" t="s">
        <v>5</v>
      </c>
      <c r="D5">
        <v>1</v>
      </c>
      <c r="E5">
        <v>1</v>
      </c>
      <c r="F5" t="s">
        <v>39</v>
      </c>
    </row>
    <row r="6" spans="2:6" x14ac:dyDescent="0.3">
      <c r="B6" t="s">
        <v>6</v>
      </c>
      <c r="C6" t="s">
        <v>7</v>
      </c>
      <c r="D6">
        <v>3</v>
      </c>
      <c r="E6">
        <v>1</v>
      </c>
      <c r="F6" t="s">
        <v>38</v>
      </c>
    </row>
    <row r="7" spans="2:6" x14ac:dyDescent="0.3">
      <c r="B7" t="s">
        <v>40</v>
      </c>
      <c r="C7" t="s">
        <v>7</v>
      </c>
      <c r="D7">
        <f>12*0.02</f>
        <v>0.24</v>
      </c>
      <c r="E7">
        <v>4</v>
      </c>
      <c r="F7" t="s">
        <v>38</v>
      </c>
    </row>
    <row r="8" spans="2:6" x14ac:dyDescent="0.3">
      <c r="B8" t="s">
        <v>41</v>
      </c>
      <c r="C8" t="s">
        <v>5</v>
      </c>
      <c r="F8" t="s">
        <v>39</v>
      </c>
    </row>
    <row r="13" spans="2:6" x14ac:dyDescent="0.3">
      <c r="C13" s="1" t="s">
        <v>8</v>
      </c>
      <c r="D13">
        <f>SUMPRODUCT(D4:D7,E4:E7)</f>
        <v>5.68</v>
      </c>
      <c r="E13" t="s">
        <v>9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ESP32 PINOUT</vt:lpstr>
      <vt:lpstr>POWER CONSUMPTION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llaguno salazar</dc:creator>
  <cp:lastModifiedBy>Pablo Llaguno Salazar</cp:lastModifiedBy>
  <dcterms:created xsi:type="dcterms:W3CDTF">2021-09-14T20:46:36Z</dcterms:created>
  <dcterms:modified xsi:type="dcterms:W3CDTF">2024-02-08T22:06:05Z</dcterms:modified>
</cp:coreProperties>
</file>